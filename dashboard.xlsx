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7CF67D81-94C8-4D3C-9448-3AA82464A1DD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Planilha2" sheetId="2" r:id="rId1"/>
    <sheet name="Planilha3" sheetId="3" r:id="rId2"/>
    <sheet name="Planilha4" sheetId="4" r:id="rId3"/>
    <sheet name="Planilha1" sheetId="1" r:id="rId4"/>
    <sheet name="dashboard" sheetId="5" r:id="rId5"/>
  </sheets>
  <calcPr calcId="191028"/>
  <pivotCaches>
    <pivotCache cacheId="155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G2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<sst xmlns="http://schemas.openxmlformats.org/spreadsheetml/2006/main" count="54" uniqueCount="24">
  <si>
    <t>mês</t>
  </si>
  <si>
    <t>Soma de total</t>
  </si>
  <si>
    <t>jan</t>
  </si>
  <si>
    <t>fev</t>
  </si>
  <si>
    <t>mar</t>
  </si>
  <si>
    <t>Total Geral</t>
  </si>
  <si>
    <t>categoria</t>
  </si>
  <si>
    <t>acessório</t>
  </si>
  <si>
    <t>calçado</t>
  </si>
  <si>
    <t>roupa</t>
  </si>
  <si>
    <t>produto</t>
  </si>
  <si>
    <t>boné</t>
  </si>
  <si>
    <t>calça</t>
  </si>
  <si>
    <t>camiseta</t>
  </si>
  <si>
    <t>tênis</t>
  </si>
  <si>
    <t>data</t>
  </si>
  <si>
    <t>quantidade</t>
  </si>
  <si>
    <t>preço</t>
  </si>
  <si>
    <t>total</t>
  </si>
  <si>
    <t>Faturamento Total: R$ XXXX</t>
  </si>
  <si>
    <t xml:space="preserve">Vendas por mês </t>
  </si>
  <si>
    <t xml:space="preserve"> Produto </t>
  </si>
  <si>
    <t xml:space="preserve">Categoria </t>
  </si>
  <si>
    <t>Faturamento Total: R$ 1.880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</si>
</sst>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2.xlsx]Planilha2!Tabela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Planilha2!$A$4:$A$7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Planilha2!$B$4:$B$7</c:f>
              <c:numCache>
                <c:formatCode>General</c:formatCode>
                <c:ptCount val="3"/>
                <c:pt idx="0">
                  <c:v>640</c:v>
                </c:pt>
                <c:pt idx="1">
                  <c:v>800</c:v>
                </c:pt>
                <c:pt idx="2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92-4B4D-84E4-A4CBF7E01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975943"/>
        <c:axId val="903977991"/>
      </c:lineChart>
      <c:catAx>
        <c:axId val="903975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977991"/>
        <c:crosses val="autoZero"/>
        <c:auto val="1"/>
        <c:lblAlgn val="ctr"/>
        <c:lblOffset val="100"/>
        <c:noMultiLvlLbl val="0"/>
      </c:catAx>
      <c:valAx>
        <c:axId val="903977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97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2.xlsx]Planilha3!Tabela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Planilha3!$A$4:$A$7</c:f>
              <c:strCache>
                <c:ptCount val="3"/>
                <c:pt idx="0">
                  <c:v>acessório</c:v>
                </c:pt>
                <c:pt idx="1">
                  <c:v>calçado</c:v>
                </c:pt>
                <c:pt idx="2">
                  <c:v>roupa</c:v>
                </c:pt>
              </c:strCache>
            </c:strRef>
          </c:cat>
          <c:val>
            <c:numRef>
              <c:f>Planilha3!$B$4:$B$7</c:f>
              <c:numCache>
                <c:formatCode>General</c:formatCode>
                <c:ptCount val="3"/>
                <c:pt idx="0">
                  <c:v>320</c:v>
                </c:pt>
                <c:pt idx="1">
                  <c:v>900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B-45D7-A876-F06EA4BB2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2.xlsx]Planilha4!Tabela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Planilha4!$A$4:$A$8</c:f>
              <c:strCache>
                <c:ptCount val="4"/>
                <c:pt idx="0">
                  <c:v>boné</c:v>
                </c:pt>
                <c:pt idx="1">
                  <c:v>calça</c:v>
                </c:pt>
                <c:pt idx="2">
                  <c:v>camiseta</c:v>
                </c:pt>
                <c:pt idx="3">
                  <c:v>tênis</c:v>
                </c:pt>
              </c:strCache>
            </c:strRef>
          </c:cat>
          <c:val>
            <c:numRef>
              <c:f>Planilha4!$B$4:$B$8</c:f>
              <c:numCache>
                <c:formatCode>General</c:formatCode>
                <c:ptCount val="4"/>
                <c:pt idx="0">
                  <c:v>320</c:v>
                </c:pt>
                <c:pt idx="1">
                  <c:v>360</c:v>
                </c:pt>
                <c:pt idx="2">
                  <c:v>300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41F-AFF2-BB69266F2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607047"/>
        <c:axId val="955609095"/>
      </c:barChart>
      <c:catAx>
        <c:axId val="955607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09095"/>
        <c:crosses val="autoZero"/>
        <c:auto val="1"/>
        <c:lblAlgn val="ctr"/>
        <c:lblOffset val="100"/>
        <c:noMultiLvlLbl val="0"/>
      </c:catAx>
      <c:valAx>
        <c:axId val="955609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07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2.xlsx]Planilha2!Tabela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Planilha2!$A$4:$A$7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Planilha2!$B$4:$B$7</c:f>
              <c:numCache>
                <c:formatCode>General</c:formatCode>
                <c:ptCount val="3"/>
                <c:pt idx="0">
                  <c:v>640</c:v>
                </c:pt>
                <c:pt idx="1">
                  <c:v>800</c:v>
                </c:pt>
                <c:pt idx="2">
                  <c:v>440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2-4CAC-8E06-0900ECEA2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975943"/>
        <c:axId val="903977991"/>
      </c:lineChart>
      <c:catAx>
        <c:axId val="903975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977991"/>
        <c:crosses val="autoZero"/>
        <c:auto val="1"/>
        <c:lblAlgn val="ctr"/>
        <c:lblOffset val="100"/>
        <c:noMultiLvlLbl val="0"/>
      </c:catAx>
      <c:valAx>
        <c:axId val="903977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975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2.xlsx]Planilha4!Tabela dinâmica2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Planilha4!$A$4:$A$8</c:f>
              <c:strCache>
                <c:ptCount val="4"/>
                <c:pt idx="0">
                  <c:v>boné</c:v>
                </c:pt>
                <c:pt idx="1">
                  <c:v>calça</c:v>
                </c:pt>
                <c:pt idx="2">
                  <c:v>camiseta</c:v>
                </c:pt>
                <c:pt idx="3">
                  <c:v>tênis</c:v>
                </c:pt>
              </c:strCache>
            </c:strRef>
          </c:cat>
          <c:val>
            <c:numRef>
              <c:f>Planilha4!$B$4:$B$8</c:f>
              <c:numCache>
                <c:formatCode>General</c:formatCode>
                <c:ptCount val="4"/>
                <c:pt idx="0">
                  <c:v>320</c:v>
                </c:pt>
                <c:pt idx="1">
                  <c:v>360</c:v>
                </c:pt>
                <c:pt idx="2">
                  <c:v>300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F-447F-AEBD-645B0A459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5607047"/>
        <c:axId val="955609095"/>
      </c:barChart>
      <c:catAx>
        <c:axId val="955607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09095"/>
        <c:crosses val="autoZero"/>
        <c:auto val="1"/>
        <c:lblAlgn val="ctr"/>
        <c:lblOffset val="100"/>
        <c:noMultiLvlLbl val="0"/>
      </c:catAx>
      <c:valAx>
        <c:axId val="955609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607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2.xlsx]Planilha3!Tabela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40-4948-BEC0-ADBC3E6FFC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40-4948-BEC0-ADBC3E6FFC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40-4948-BEC0-ADBC3E6FFC56}"/>
              </c:ext>
            </c:extLst>
          </c:dPt>
          <c:cat>
            <c:strRef>
              <c:f>Planilha3!$A$4:$A$7</c:f>
              <c:strCache>
                <c:ptCount val="3"/>
                <c:pt idx="0">
                  <c:v>acessório</c:v>
                </c:pt>
                <c:pt idx="1">
                  <c:v>calçado</c:v>
                </c:pt>
                <c:pt idx="2">
                  <c:v>roupa</c:v>
                </c:pt>
              </c:strCache>
            </c:strRef>
          </c:cat>
          <c:val>
            <c:numRef>
              <c:f>Planilha3!$B$4:$B$7</c:f>
              <c:numCache>
                <c:formatCode>General</c:formatCode>
                <c:ptCount val="3"/>
                <c:pt idx="0">
                  <c:v>320</c:v>
                </c:pt>
                <c:pt idx="1">
                  <c:v>900</c:v>
                </c:pt>
                <c:pt idx="2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40-4948-BEC0-ADBC3E6FF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10</xdr:row>
      <xdr:rowOff>114300</xdr:rowOff>
    </xdr:from>
    <xdr:to>
      <xdr:col>14</xdr:col>
      <xdr:colOff>142875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2004DB-965B-9A23-3B86-ABBA479D9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10</xdr:row>
      <xdr:rowOff>114300</xdr:rowOff>
    </xdr:from>
    <xdr:to>
      <xdr:col>14</xdr:col>
      <xdr:colOff>38100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859C4A-F337-5ACE-1C97-B19B14395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10</xdr:row>
      <xdr:rowOff>114300</xdr:rowOff>
    </xdr:from>
    <xdr:to>
      <xdr:col>14</xdr:col>
      <xdr:colOff>104775</xdr:colOff>
      <xdr:row>25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002F13-2183-F9E5-612F-78E305F34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1104900</xdr:colOff>
      <xdr:row>0</xdr:row>
      <xdr:rowOff>142875</xdr:rowOff>
    </xdr:from>
    <xdr:to>
      <xdr:col>9</xdr:col>
      <xdr:colOff>0</xdr:colOff>
      <xdr:row>17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E66183-79DE-4715-B60D-B09E7298D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676275</xdr:colOff>
      <xdr:row>1</xdr:row>
      <xdr:rowOff>47625</xdr:rowOff>
    </xdr:from>
    <xdr:to>
      <xdr:col>17</xdr:col>
      <xdr:colOff>295275</xdr:colOff>
      <xdr:row>15</xdr:row>
      <xdr:rowOff>123825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185F8311-6CE9-48D5-BA27-412F1263ADF0}"/>
            </a:ext>
            <a:ext uri="{147F2762-F138-4A5C-976F-8EAC2B608ADB}">
              <a16:predDERef xmlns:a16="http://schemas.microsoft.com/office/drawing/2014/main" pred="{81E66183-79DE-4715-B60D-B09E7298D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1123950</xdr:colOff>
      <xdr:row>19</xdr:row>
      <xdr:rowOff>28575</xdr:rowOff>
    </xdr:from>
    <xdr:to>
      <xdr:col>10</xdr:col>
      <xdr:colOff>57150</xdr:colOff>
      <xdr:row>33</xdr:row>
      <xdr:rowOff>104775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079071CE-8A79-4719-8124-355E8FA41A82}"/>
            </a:ext>
            <a:ext uri="{147F2762-F138-4A5C-976F-8EAC2B608ADB}">
              <a16:predDERef xmlns:a16="http://schemas.microsoft.com/office/drawing/2014/main" pred="{185F8311-6CE9-48D5-BA27-412F1263A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8.797175810185" createdVersion="8" refreshedVersion="8" minRefreshableVersion="3" recordCount="8" xr:uid="{EBEAC866-FAEC-41FC-8BD5-053EA020A9F2}">
  <cacheSource type="worksheet">
    <worksheetSource name="Tabela1"/>
  </cacheSource>
  <cacheFields count="7">
    <cacheField name="data" numFmtId="14">
      <sharedItems containsSemiMixedTypes="0" containsNonDate="0" containsDate="1" containsString="0" minDate="2026-01-01T00:00:00" maxDate="2026-03-21T00:00:00" count="8">
        <d v="2026-01-01T00:00:00"/>
        <d v="2026-01-02T00:00:00"/>
        <d v="2026-01-03T00:00:00"/>
        <d v="2026-01-04T00:00:00"/>
        <d v="2026-02-05T00:00:00"/>
        <d v="2026-02-10T00:00:00"/>
        <d v="2026-03-15T00:00:00"/>
        <d v="2026-03-20T00:00:00"/>
      </sharedItems>
    </cacheField>
    <cacheField name="produto" numFmtId="0">
      <sharedItems count="4">
        <s v="camiseta"/>
        <s v="calça"/>
        <s v="tênis"/>
        <s v="boné"/>
      </sharedItems>
    </cacheField>
    <cacheField name="categoria" numFmtId="0">
      <sharedItems count="3">
        <s v="roupa"/>
        <s v="calçado"/>
        <s v="acessório"/>
      </sharedItems>
    </cacheField>
    <cacheField name="quantidade" numFmtId="0">
      <sharedItems containsSemiMixedTypes="0" containsString="0" containsNumber="1" containsInteger="1" minValue="1" maxValue="5"/>
    </cacheField>
    <cacheField name="preço" numFmtId="0">
      <sharedItems containsSemiMixedTypes="0" containsString="0" containsNumber="1" containsInteger="1" minValue="40" maxValue="300"/>
    </cacheField>
    <cacheField name="total" numFmtId="0">
      <sharedItems containsSemiMixedTypes="0" containsString="0" containsNumber="1" containsInteger="1" minValue="100" maxValue="600"/>
    </cacheField>
    <cacheField name="mês" numFmtId="0">
      <sharedItems count="3">
        <s v="jan"/>
        <s v="fev"/>
        <s v="m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2"/>
    <n v="50"/>
    <n v="100"/>
    <x v="0"/>
  </r>
  <r>
    <x v="1"/>
    <x v="1"/>
    <x v="0"/>
    <n v="1"/>
    <n v="120"/>
    <n v="120"/>
    <x v="0"/>
  </r>
  <r>
    <x v="2"/>
    <x v="2"/>
    <x v="1"/>
    <n v="1"/>
    <n v="300"/>
    <n v="300"/>
    <x v="0"/>
  </r>
  <r>
    <x v="3"/>
    <x v="3"/>
    <x v="2"/>
    <n v="3"/>
    <n v="40"/>
    <n v="120"/>
    <x v="0"/>
  </r>
  <r>
    <x v="4"/>
    <x v="0"/>
    <x v="0"/>
    <n v="4"/>
    <n v="50"/>
    <n v="200"/>
    <x v="1"/>
  </r>
  <r>
    <x v="5"/>
    <x v="2"/>
    <x v="1"/>
    <n v="2"/>
    <n v="300"/>
    <n v="600"/>
    <x v="1"/>
  </r>
  <r>
    <x v="6"/>
    <x v="1"/>
    <x v="0"/>
    <n v="2"/>
    <n v="120"/>
    <n v="240"/>
    <x v="2"/>
  </r>
  <r>
    <x v="7"/>
    <x v="3"/>
    <x v="2"/>
    <n v="5"/>
    <n v="40"/>
    <n v="2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E92D98-7D4C-432E-AC86-9001E80C8537}" name="Tabela dinâmica1" cacheId="15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3:B7" firstHeaderRow="1" firstDataRow="1" firstDataCol="1"/>
  <pivotFields count="7">
    <pivotField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axis="axisRow" compact="0" outline="0"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" fld="5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B3E79-4BC2-46E6-8F01-096BF2498E99}" name="Tabela dinâmica1" cacheId="15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3:B7" firstHeaderRow="1" firstDataRow="1" firstDataCol="1"/>
  <pivotFields count="7">
    <pivotField compact="0" numFmtId="14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" fld="5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F2EB1-8D1D-4A67-8E10-4CD37375A766}" name="Tabela dinâmica2" cacheId="15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3:B8" firstHeaderRow="1" firstDataRow="1" firstDataCol="1"/>
  <pivotFields count="7">
    <pivotField compact="0" numFmtId="14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total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87A91-E181-41EB-9558-581B1D9B402B}" name="Tabela1" displayName="Tabela1" ref="A1:G9" totalsRowShown="0">
  <autoFilter ref="A1:G9" xr:uid="{58287A91-E181-41EB-9558-581B1D9B402B}"/>
  <tableColumns count="7">
    <tableColumn id="1" xr3:uid="{94E8B6F0-6B77-4A85-97C3-BF9B5F4F620E}" name="data"/>
    <tableColumn id="2" xr3:uid="{C4E36C62-06E8-4F8E-88B2-D3B393BC29A0}" name="produto"/>
    <tableColumn id="3" xr3:uid="{2720F95C-1027-4CA4-849E-1FBB7297B436}" name="categoria"/>
    <tableColumn id="4" xr3:uid="{6B1ABD63-8BAD-4A04-88A3-E4100EDC9167}" name="quantidade"/>
    <tableColumn id="5" xr3:uid="{F9E1E23C-56B5-47B5-BA1B-9F921467601E}" name="preço"/>
    <tableColumn id="6" xr3:uid="{BDDB64CB-8AB2-4325-B3CC-6614744DB42C}" name="total" dataDxfId="1">
      <calculatedColumnFormula>E2*D2</calculatedColumnFormula>
    </tableColumn>
    <tableColumn id="7" xr3:uid="{2A9503DD-F638-448E-A70C-63EC16A09F14}" name="mês" dataDxfId="0">
      <calculatedColumnFormula>TEXT(A2,"mmm")=TEXT(A1,"mmm")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CCD5-FDF1-4159-9166-48921369BE10}">
  <dimension ref="A3:B7"/>
  <sheetViews>
    <sheetView workbookViewId="0">
      <selection activeCell="G11" sqref="G11:O26"/>
    </sheetView>
  </sheetViews>
  <sheetFormatPr defaultRowHeight="15"/>
  <cols>
    <col min="1" max="1" width="10.7109375" bestFit="1" customWidth="1"/>
    <col min="2" max="3" width="13.2851562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640</v>
      </c>
    </row>
    <row r="5" spans="1:2">
      <c r="A5" t="s">
        <v>3</v>
      </c>
      <c r="B5" s="3">
        <v>800</v>
      </c>
    </row>
    <row r="6" spans="1:2">
      <c r="A6" t="s">
        <v>4</v>
      </c>
      <c r="B6" s="3">
        <v>440</v>
      </c>
    </row>
    <row r="7" spans="1:2">
      <c r="A7" t="s">
        <v>5</v>
      </c>
      <c r="B7" s="3">
        <v>1880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08CD-5CED-4099-88E6-0EED828ED029}">
  <dimension ref="A3:B7"/>
  <sheetViews>
    <sheetView workbookViewId="0">
      <selection activeCell="F10" sqref="F10:O27"/>
    </sheetView>
  </sheetViews>
  <sheetFormatPr defaultRowHeight="15"/>
  <cols>
    <col min="1" max="1" width="12.28515625" bestFit="1" customWidth="1"/>
    <col min="2" max="2" width="13.28515625" bestFit="1" customWidth="1"/>
  </cols>
  <sheetData>
    <row r="3" spans="1:2">
      <c r="A3" s="2" t="s">
        <v>6</v>
      </c>
      <c r="B3" t="s">
        <v>1</v>
      </c>
    </row>
    <row r="4" spans="1:2">
      <c r="A4" t="s">
        <v>7</v>
      </c>
      <c r="B4" s="3">
        <v>320</v>
      </c>
    </row>
    <row r="5" spans="1:2">
      <c r="A5" t="s">
        <v>8</v>
      </c>
      <c r="B5" s="3">
        <v>900</v>
      </c>
    </row>
    <row r="6" spans="1:2">
      <c r="A6" t="s">
        <v>9</v>
      </c>
      <c r="B6" s="3">
        <v>660</v>
      </c>
    </row>
    <row r="7" spans="1:2">
      <c r="A7" t="s">
        <v>5</v>
      </c>
      <c r="B7" s="3">
        <v>1880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8A98-EE68-4C79-9A35-2F5DA4FE0879}">
  <dimension ref="A3:B8"/>
  <sheetViews>
    <sheetView workbookViewId="0">
      <selection activeCell="G11" sqref="G11:O26"/>
    </sheetView>
  </sheetViews>
  <sheetFormatPr defaultRowHeight="15"/>
  <cols>
    <col min="1" max="1" width="11.28515625" bestFit="1" customWidth="1"/>
    <col min="2" max="2" width="13.28515625" bestFit="1" customWidth="1"/>
  </cols>
  <sheetData>
    <row r="3" spans="1:2">
      <c r="A3" s="2" t="s">
        <v>10</v>
      </c>
      <c r="B3" t="s">
        <v>1</v>
      </c>
    </row>
    <row r="4" spans="1:2">
      <c r="A4" t="s">
        <v>11</v>
      </c>
      <c r="B4" s="3">
        <v>320</v>
      </c>
    </row>
    <row r="5" spans="1:2">
      <c r="A5" t="s">
        <v>12</v>
      </c>
      <c r="B5" s="3">
        <v>360</v>
      </c>
    </row>
    <row r="6" spans="1:2">
      <c r="A6" t="s">
        <v>13</v>
      </c>
      <c r="B6" s="3">
        <v>300</v>
      </c>
    </row>
    <row r="7" spans="1:2">
      <c r="A7" t="s">
        <v>14</v>
      </c>
      <c r="B7" s="3">
        <v>900</v>
      </c>
    </row>
    <row r="8" spans="1:2">
      <c r="A8" t="s">
        <v>5</v>
      </c>
      <c r="B8" s="3">
        <v>1880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A13" sqref="A13"/>
    </sheetView>
  </sheetViews>
  <sheetFormatPr defaultRowHeight="15"/>
  <cols>
    <col min="1" max="1" width="36.5703125" bestFit="1" customWidth="1"/>
    <col min="2" max="2" width="10.42578125" bestFit="1" customWidth="1"/>
    <col min="3" max="3" width="11.42578125" bestFit="1" customWidth="1"/>
    <col min="4" max="4" width="13.28515625" bestFit="1" customWidth="1"/>
  </cols>
  <sheetData>
    <row r="1" spans="1:7">
      <c r="A1" t="s">
        <v>15</v>
      </c>
      <c r="B1" t="s">
        <v>10</v>
      </c>
      <c r="C1" t="s">
        <v>6</v>
      </c>
      <c r="D1" t="s">
        <v>16</v>
      </c>
      <c r="E1" t="s">
        <v>17</v>
      </c>
      <c r="F1" t="s">
        <v>18</v>
      </c>
      <c r="G1" s="4" t="s">
        <v>0</v>
      </c>
    </row>
    <row r="2" spans="1:7">
      <c r="A2" s="1">
        <v>46023</v>
      </c>
      <c r="B2" t="s">
        <v>13</v>
      </c>
      <c r="C2" t="s">
        <v>9</v>
      </c>
      <c r="D2">
        <v>2</v>
      </c>
      <c r="E2">
        <v>50</v>
      </c>
      <c r="F2">
        <f t="shared" ref="F2:F9" si="0">E2*D2</f>
        <v>100</v>
      </c>
      <c r="G2" t="str">
        <f>TEXT(A2,"mmm")</f>
        <v>jan</v>
      </c>
    </row>
    <row r="3" spans="1:7">
      <c r="A3" s="1">
        <v>46024</v>
      </c>
      <c r="B3" t="s">
        <v>12</v>
      </c>
      <c r="C3" t="s">
        <v>9</v>
      </c>
      <c r="D3">
        <v>1</v>
      </c>
      <c r="E3">
        <v>120</v>
      </c>
      <c r="F3">
        <f>E3*D3</f>
        <v>120</v>
      </c>
      <c r="G3" t="s">
        <v>2</v>
      </c>
    </row>
    <row r="4" spans="1:7">
      <c r="A4" s="1">
        <v>46025</v>
      </c>
      <c r="B4" t="s">
        <v>14</v>
      </c>
      <c r="C4" t="s">
        <v>8</v>
      </c>
      <c r="D4">
        <v>1</v>
      </c>
      <c r="E4">
        <v>300</v>
      </c>
      <c r="F4">
        <f>E4*D4</f>
        <v>300</v>
      </c>
      <c r="G4" t="s">
        <v>2</v>
      </c>
    </row>
    <row r="5" spans="1:7">
      <c r="A5" s="1">
        <v>46026</v>
      </c>
      <c r="B5" t="s">
        <v>11</v>
      </c>
      <c r="C5" t="s">
        <v>7</v>
      </c>
      <c r="D5">
        <v>3</v>
      </c>
      <c r="E5">
        <v>40</v>
      </c>
      <c r="F5">
        <f>E5*D5</f>
        <v>120</v>
      </c>
      <c r="G5" t="s">
        <v>2</v>
      </c>
    </row>
    <row r="6" spans="1:7">
      <c r="A6" s="1">
        <v>46058</v>
      </c>
      <c r="B6" t="s">
        <v>13</v>
      </c>
      <c r="C6" t="s">
        <v>9</v>
      </c>
      <c r="D6">
        <v>4</v>
      </c>
      <c r="E6">
        <v>50</v>
      </c>
      <c r="F6">
        <f>E6*D6</f>
        <v>200</v>
      </c>
      <c r="G6" t="s">
        <v>3</v>
      </c>
    </row>
    <row r="7" spans="1:7">
      <c r="A7" s="1">
        <v>46063</v>
      </c>
      <c r="B7" t="s">
        <v>14</v>
      </c>
      <c r="C7" t="s">
        <v>8</v>
      </c>
      <c r="D7">
        <v>2</v>
      </c>
      <c r="E7">
        <v>300</v>
      </c>
      <c r="F7">
        <f>E7*D7</f>
        <v>600</v>
      </c>
      <c r="G7" t="s">
        <v>3</v>
      </c>
    </row>
    <row r="8" spans="1:7">
      <c r="A8" s="1">
        <v>46096</v>
      </c>
      <c r="B8" t="s">
        <v>12</v>
      </c>
      <c r="C8" t="s">
        <v>9</v>
      </c>
      <c r="D8">
        <v>2</v>
      </c>
      <c r="E8">
        <v>120</v>
      </c>
      <c r="F8">
        <f>E8*D8</f>
        <v>240</v>
      </c>
      <c r="G8" t="s">
        <v>4</v>
      </c>
    </row>
    <row r="9" spans="1:7">
      <c r="A9" s="1">
        <v>46101</v>
      </c>
      <c r="B9" t="s">
        <v>11</v>
      </c>
      <c r="C9" t="s">
        <v>7</v>
      </c>
      <c r="D9">
        <v>5</v>
      </c>
      <c r="E9">
        <v>40</v>
      </c>
      <c r="F9">
        <f>E9*D9</f>
        <v>200</v>
      </c>
      <c r="G9" t="s">
        <v>4</v>
      </c>
    </row>
    <row r="12" spans="1:7">
      <c r="A12">
        <f>SUM(F2:F9)</f>
        <v>1880</v>
      </c>
    </row>
    <row r="13" spans="1:7" ht="16.5">
      <c r="A13" s="7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1D20-B2F4-4D79-8ACD-BB1441FFC3EE}">
  <dimension ref="A2:N25"/>
  <sheetViews>
    <sheetView tabSelected="1" topLeftCell="A6" workbookViewId="0">
      <selection activeCell="I11" sqref="I11"/>
    </sheetView>
  </sheetViews>
  <sheetFormatPr defaultRowHeight="15"/>
  <cols>
    <col min="1" max="1" width="17" bestFit="1" customWidth="1"/>
    <col min="10" max="10" width="10.28515625" bestFit="1" customWidth="1"/>
    <col min="12" max="12" width="28.140625" bestFit="1" customWidth="1"/>
    <col min="13" max="13" width="36.5703125" bestFit="1" customWidth="1"/>
  </cols>
  <sheetData>
    <row r="2" spans="1:10">
      <c r="A2" t="s">
        <v>20</v>
      </c>
    </row>
    <row r="4" spans="1:10">
      <c r="J4" s="8" t="s">
        <v>21</v>
      </c>
    </row>
    <row r="22" spans="1:14">
      <c r="A22" s="8" t="s">
        <v>22</v>
      </c>
    </row>
    <row r="25" spans="1:14" ht="47.25">
      <c r="L25" s="5"/>
      <c r="M25" s="6" t="s">
        <v>23</v>
      </c>
      <c r="N25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2026-04-16T21:32:09Z</dcterms:created>
  <dcterms:modified xsi:type="dcterms:W3CDTF">2026-04-16T22:29:23Z</dcterms:modified>
  <cp:category/>
  <cp:contentStatus/>
</cp:coreProperties>
</file>